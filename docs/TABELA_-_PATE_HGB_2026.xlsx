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01. HJM GESTÃO E SERVIÇOS\02. CONTRATOS ATIVOS\10. HFBS (GHC)\MULTIRÃO CIRURGIAS\"/>
    </mc:Choice>
  </mc:AlternateContent>
  <xr:revisionPtr revIDLastSave="0" documentId="13_ncr:1_{D3418148-873D-4C01-8396-6CB117EDD9C0}" xr6:coauthVersionLast="47" xr6:coauthVersionMax="47" xr10:uidLastSave="{00000000-0000-0000-0000-000000000000}"/>
  <bookViews>
    <workbookView xWindow="-108" yWindow="-108" windowWidth="23256" windowHeight="12456" activeTab="1" xr2:uid="{5BC06AF6-8C90-4D08-88F3-9907CC3B1ECD}"/>
  </bookViews>
  <sheets>
    <sheet name="TABELA PATE 2026" sheetId="3" r:id="rId1"/>
    <sheet name="REGR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3" l="1"/>
  <c r="L26" i="3"/>
  <c r="K26" i="3"/>
  <c r="M26" i="3" s="1"/>
  <c r="F26" i="3"/>
  <c r="L25" i="3"/>
  <c r="K25" i="3"/>
  <c r="M25" i="3" s="1"/>
  <c r="F25" i="3"/>
  <c r="L22" i="3"/>
  <c r="K22" i="3"/>
  <c r="M22" i="3" s="1"/>
  <c r="F22" i="3"/>
  <c r="L21" i="3"/>
  <c r="K21" i="3"/>
  <c r="M21" i="3" s="1"/>
  <c r="F21" i="3"/>
  <c r="L20" i="3"/>
  <c r="K20" i="3"/>
  <c r="M20" i="3" s="1"/>
  <c r="F20" i="3"/>
  <c r="L19" i="3"/>
  <c r="K19" i="3"/>
  <c r="M19" i="3" s="1"/>
  <c r="F19" i="3"/>
  <c r="L18" i="3"/>
  <c r="K18" i="3"/>
  <c r="M18" i="3" s="1"/>
  <c r="F18" i="3"/>
  <c r="L17" i="3"/>
  <c r="K17" i="3"/>
  <c r="M17" i="3" s="1"/>
  <c r="F17" i="3"/>
  <c r="L14" i="3"/>
  <c r="K14" i="3"/>
  <c r="M14" i="3" s="1"/>
  <c r="F14" i="3"/>
  <c r="L13" i="3"/>
  <c r="K13" i="3"/>
  <c r="M13" i="3" s="1"/>
  <c r="F13" i="3"/>
  <c r="L10" i="3"/>
  <c r="K10" i="3"/>
  <c r="M10" i="3" s="1"/>
  <c r="F10" i="3"/>
  <c r="L9" i="3"/>
  <c r="K9" i="3"/>
  <c r="M9" i="3" s="1"/>
  <c r="F9" i="3"/>
  <c r="L8" i="3"/>
  <c r="K8" i="3"/>
  <c r="M8" i="3" s="1"/>
  <c r="F8" i="3"/>
  <c r="L7" i="3"/>
  <c r="K7" i="3"/>
  <c r="F7" i="3"/>
  <c r="L4" i="3"/>
  <c r="K4" i="3"/>
  <c r="M4" i="3" s="1"/>
  <c r="F4" i="3"/>
  <c r="L3" i="3"/>
  <c r="K3" i="3"/>
  <c r="M3" i="3" s="1"/>
  <c r="F3" i="3"/>
  <c r="L2" i="3"/>
  <c r="K2" i="3"/>
  <c r="M2" i="3" s="1"/>
  <c r="F2" i="3"/>
  <c r="L3" i="2"/>
  <c r="Q3" i="2" s="1"/>
  <c r="L4" i="2"/>
  <c r="Q4" i="2" s="1"/>
  <c r="L7" i="2"/>
  <c r="Q7" i="2" s="1"/>
  <c r="L8" i="2"/>
  <c r="L9" i="2"/>
  <c r="Q9" i="2" s="1"/>
  <c r="L10" i="2"/>
  <c r="Q10" i="2" s="1"/>
  <c r="L13" i="2"/>
  <c r="L14" i="2"/>
  <c r="L18" i="2"/>
  <c r="L19" i="2"/>
  <c r="L20" i="2"/>
  <c r="L21" i="2"/>
  <c r="L22" i="2"/>
  <c r="L23" i="2"/>
  <c r="L28" i="2"/>
  <c r="Q28" i="2" s="1"/>
  <c r="L29" i="2"/>
  <c r="Q29" i="2" s="1"/>
  <c r="K3" i="2"/>
  <c r="K4" i="2"/>
  <c r="K7" i="2"/>
  <c r="K8" i="2"/>
  <c r="K9" i="2"/>
  <c r="K10" i="2"/>
  <c r="K13" i="2"/>
  <c r="K14" i="2"/>
  <c r="K18" i="2"/>
  <c r="K19" i="2"/>
  <c r="M19" i="2" s="1"/>
  <c r="O19" i="2" s="1"/>
  <c r="K20" i="2"/>
  <c r="M20" i="2" s="1"/>
  <c r="O20" i="2" s="1"/>
  <c r="K21" i="2"/>
  <c r="K22" i="2"/>
  <c r="K23" i="2"/>
  <c r="K28" i="2"/>
  <c r="K29" i="2"/>
  <c r="L2" i="2"/>
  <c r="Q2" i="2" s="1"/>
  <c r="K2" i="2"/>
  <c r="M2" i="2" s="1"/>
  <c r="O2" i="2" s="1"/>
  <c r="M21" i="2" l="1"/>
  <c r="O21" i="2" s="1"/>
  <c r="M7" i="3"/>
  <c r="M14" i="2"/>
  <c r="O14" i="2" s="1"/>
  <c r="M18" i="2"/>
  <c r="O18" i="2" s="1"/>
  <c r="M8" i="2"/>
  <c r="O8" i="2" s="1"/>
  <c r="Q8" i="2"/>
  <c r="M28" i="2"/>
  <c r="O28" i="2" s="1"/>
  <c r="M7" i="2"/>
  <c r="O7" i="2" s="1"/>
  <c r="M13" i="2"/>
  <c r="O13" i="2" s="1"/>
  <c r="M10" i="2"/>
  <c r="O10" i="2" s="1"/>
  <c r="M23" i="2"/>
  <c r="O23" i="2" s="1"/>
  <c r="M4" i="2"/>
  <c r="O4" i="2" s="1"/>
  <c r="M22" i="2"/>
  <c r="O22" i="2" s="1"/>
  <c r="M3" i="2"/>
  <c r="O3" i="2" s="1"/>
  <c r="M9" i="2"/>
  <c r="O9" i="2" s="1"/>
  <c r="M29" i="2"/>
  <c r="O29" i="2" s="1"/>
  <c r="G32" i="2"/>
  <c r="F29" i="2"/>
  <c r="F28" i="2"/>
  <c r="F23" i="2"/>
  <c r="F22" i="2"/>
  <c r="F21" i="2"/>
  <c r="F20" i="2"/>
  <c r="F19" i="2"/>
  <c r="F18" i="2"/>
  <c r="F14" i="2"/>
  <c r="F13" i="2"/>
  <c r="F10" i="2"/>
  <c r="F9" i="2"/>
  <c r="F8" i="2"/>
  <c r="F7" i="2"/>
  <c r="F4" i="2"/>
  <c r="F3" i="2"/>
  <c r="F2" i="2"/>
</calcChain>
</file>

<file path=xl/sharedStrings.xml><?xml version="1.0" encoding="utf-8"?>
<sst xmlns="http://schemas.openxmlformats.org/spreadsheetml/2006/main" count="107" uniqueCount="55">
  <si>
    <t>ÁREA</t>
  </si>
  <si>
    <t>PROCEDIMENTO</t>
  </si>
  <si>
    <t>CÓDIGO</t>
  </si>
  <si>
    <t>SH</t>
  </si>
  <si>
    <t>SP</t>
  </si>
  <si>
    <t>TOTAL SIGTAP</t>
  </si>
  <si>
    <t>QUANTIDADE</t>
  </si>
  <si>
    <t>MULTIPLO</t>
  </si>
  <si>
    <t>COLECISTECTOMIA VIDEOLAPAROSCOPICA</t>
  </si>
  <si>
    <t>04.07.03.003-4</t>
  </si>
  <si>
    <t>HERNIOPLASTIA INGUINAL (BILATERAL)</t>
  </si>
  <si>
    <t>04.07.04.009-9</t>
  </si>
  <si>
    <t>HERNIOPLASTIA UMBILICAL</t>
  </si>
  <si>
    <t>04.07.04.012-9</t>
  </si>
  <si>
    <t>UROLOGIA</t>
  </si>
  <si>
    <t>VASECTOMIA (AMBULATORIAL)</t>
  </si>
  <si>
    <t>04.09.04.024-0</t>
  </si>
  <si>
    <t>POSTECTOMIA (AMBULATORIAL)</t>
  </si>
  <si>
    <t>04.09.05.008-3</t>
  </si>
  <si>
    <t>TRATAMENTO CIRURGICO DE HIDROCELE</t>
  </si>
  <si>
    <t>04.09.04.021-5</t>
  </si>
  <si>
    <t>TRATAMENTO CIRURGICO DE VARICOCELE</t>
  </si>
  <si>
    <t>04.09.04.023-1</t>
  </si>
  <si>
    <t>OFTALMO</t>
  </si>
  <si>
    <t>FACOEMULSIFICAÇÃO C/ IMPLANTE DE LENTE INTRA-OCULAR DOBRÁVEL</t>
  </si>
  <si>
    <t>04.05.05.037-2</t>
  </si>
  <si>
    <t>EXÉRESE DE CALAZIO E OUTRAS PEQUENAS LESOES DA PALPEBRA E SUPERCILIOS</t>
  </si>
  <si>
    <t>04.05.01.007-9</t>
  </si>
  <si>
    <t>OTORRINO</t>
  </si>
  <si>
    <t>SEPTOPLASTIA PARA CORREÇÃO DE DESVIO</t>
  </si>
  <si>
    <t>04.04.01.048-2</t>
  </si>
  <si>
    <t>SINUSOTOMIA BILATERAL</t>
  </si>
  <si>
    <t>04.04.01.032-6</t>
  </si>
  <si>
    <t>TIMPANOPLASTIA (UNI/BILATERAL)</t>
  </si>
  <si>
    <t>04.04.01.035-0</t>
  </si>
  <si>
    <t>ADENOIDECTOMIA</t>
  </si>
  <si>
    <t>04.04.01.001-6</t>
  </si>
  <si>
    <t>AMIGDALECTOMIA</t>
  </si>
  <si>
    <t>04.04.01.002-4</t>
  </si>
  <si>
    <t>TURBINECTOMIA</t>
  </si>
  <si>
    <t>04.04.01.041-5</t>
  </si>
  <si>
    <t>GINECO</t>
  </si>
  <si>
    <t>LAQUEADURA TUBARIA</t>
  </si>
  <si>
    <t>04.09.06.018-6</t>
  </si>
  <si>
    <t>HISTERECTOMIA VIDEOLAPAROSCOPICA</t>
  </si>
  <si>
    <t>04.09.06.015-1</t>
  </si>
  <si>
    <t>CIRURGIA 
GERAL</t>
  </si>
  <si>
    <t>TOTAL (SH + SP)</t>
  </si>
  <si>
    <t>REPASSE 
MÉDICO</t>
  </si>
  <si>
    <t>FATURAMENTO
95% TOTAL</t>
  </si>
  <si>
    <t>RISCO CIRURGICO 6 HORAS - 30 A 35 AGENDAMENTOS</t>
  </si>
  <si>
    <t>MAPA CIRÚRGICO DE OTORRINO 12 HORAS - 4 A 5 CIRURGIAS</t>
  </si>
  <si>
    <t>AMBULATÓRIO GINECO 6 HORAS - 20 A 25 AGENDAMENTOS</t>
  </si>
  <si>
    <t>AMBULATÓRIO OTORRINO 6 HORAS - 20 A 25 AGENDAMENTOS</t>
  </si>
  <si>
    <t>RISCO 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</si>
</sst>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6F6F6"/>
      </left>
      <right style="medium">
        <color rgb="FFF6F6F6"/>
      </right>
      <top style="medium">
        <color rgb="FFF6F6F6"/>
      </top>
      <bottom style="medium">
        <color rgb="FFF6F6F6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/>
    <xf numFmtId="44" fontId="4" fillId="0" borderId="0" xfId="1" applyFont="1" applyAlignment="1">
      <alignment horizontal="center"/>
    </xf>
    <xf numFmtId="44" fontId="0" fillId="0" borderId="0" xfId="0" applyNumberForma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44" fontId="0" fillId="0" borderId="0" xfId="0" applyNumberFormat="1" applyAlignment="1">
      <alignment horizontal="center"/>
    </xf>
    <xf numFmtId="44" fontId="2" fillId="0" borderId="0" xfId="0" applyNumberFormat="1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44" fontId="2" fillId="0" borderId="0" xfId="1" applyFont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5A53-196F-45C2-AC6A-E39B0B4B24CE}">
  <dimension ref="A1:N29"/>
  <sheetViews>
    <sheetView zoomScale="90" zoomScaleNormal="90" workbookViewId="0">
      <selection activeCell="E10" sqref="E10"/>
    </sheetView>
  </sheetViews>
  <sheetFormatPr defaultRowHeight="14.4" x14ac:dyDescent="0.3"/>
  <cols>
    <col min="1" max="1" width="9.88671875" style="4" bestFit="1" customWidth="1"/>
    <col min="2" max="2" width="62.33203125" customWidth="1"/>
    <col min="3" max="3" width="14.33203125" style="5" bestFit="1" customWidth="1"/>
    <col min="4" max="5" width="11" style="6" bestFit="1" customWidth="1"/>
    <col min="6" max="6" width="12.5546875" style="8" bestFit="1" customWidth="1"/>
    <col min="7" max="7" width="12" style="3" bestFit="1" customWidth="1"/>
    <col min="8" max="8" width="6.109375" style="3" bestFit="1" customWidth="1"/>
    <col min="9" max="9" width="9.33203125" style="3" bestFit="1" customWidth="1"/>
    <col min="10" max="10" width="6.109375" bestFit="1" customWidth="1"/>
    <col min="11" max="11" width="12.5546875" bestFit="1" customWidth="1"/>
    <col min="12" max="12" width="11.88671875" customWidth="1"/>
    <col min="13" max="13" width="14.21875" bestFit="1" customWidth="1"/>
  </cols>
  <sheetData>
    <row r="1" spans="1:14" s="3" customFormat="1" x14ac:dyDescent="0.3">
      <c r="A1" s="1" t="s">
        <v>0</v>
      </c>
      <c r="B1" s="1" t="s">
        <v>1</v>
      </c>
      <c r="C1" s="13" t="s">
        <v>2</v>
      </c>
      <c r="D1" s="14" t="s">
        <v>3</v>
      </c>
      <c r="E1" s="14" t="s">
        <v>4</v>
      </c>
      <c r="F1" s="13" t="s">
        <v>5</v>
      </c>
      <c r="G1" s="1" t="s">
        <v>6</v>
      </c>
      <c r="H1" s="1"/>
      <c r="I1" s="1" t="s">
        <v>7</v>
      </c>
      <c r="J1" s="1"/>
      <c r="K1" s="14" t="s">
        <v>3</v>
      </c>
      <c r="L1" s="14" t="s">
        <v>4</v>
      </c>
      <c r="M1" s="1" t="s">
        <v>47</v>
      </c>
      <c r="N1" s="1"/>
    </row>
    <row r="2" spans="1:14" x14ac:dyDescent="0.3">
      <c r="A2" s="16" t="s">
        <v>46</v>
      </c>
      <c r="B2" t="s">
        <v>8</v>
      </c>
      <c r="C2" s="5" t="s">
        <v>9</v>
      </c>
      <c r="D2" s="6">
        <v>746.46</v>
      </c>
      <c r="E2" s="6">
        <v>245.99</v>
      </c>
      <c r="F2" s="6">
        <f>SUM(D2:E2)</f>
        <v>992.45</v>
      </c>
      <c r="G2" s="12">
        <v>50</v>
      </c>
      <c r="H2" s="4"/>
      <c r="I2" s="3">
        <v>4</v>
      </c>
      <c r="J2" s="3"/>
      <c r="K2" s="10">
        <f>I2*D2</f>
        <v>2985.84</v>
      </c>
      <c r="L2" s="10">
        <f>I2*E2</f>
        <v>983.96</v>
      </c>
      <c r="M2" s="11">
        <f>K2+L2</f>
        <v>3969.8</v>
      </c>
    </row>
    <row r="3" spans="1:14" x14ac:dyDescent="0.3">
      <c r="A3" s="17"/>
      <c r="B3" t="s">
        <v>10</v>
      </c>
      <c r="C3" s="5" t="s">
        <v>11</v>
      </c>
      <c r="D3" s="6">
        <v>399.57</v>
      </c>
      <c r="E3" s="6">
        <v>210.49</v>
      </c>
      <c r="F3" s="6">
        <f>SUM(D3:E3)</f>
        <v>610.05999999999995</v>
      </c>
      <c r="G3" s="12"/>
      <c r="H3" s="4"/>
      <c r="I3" s="3">
        <v>4</v>
      </c>
      <c r="J3" s="3"/>
      <c r="K3" s="10">
        <f t="shared" ref="K3:K26" si="0">I3*D3</f>
        <v>1598.28</v>
      </c>
      <c r="L3" s="10">
        <f t="shared" ref="L3:L26" si="1">I3*E3</f>
        <v>841.96</v>
      </c>
      <c r="M3" s="11">
        <f t="shared" ref="M3:M25" si="2">K3+L3</f>
        <v>2440.2399999999998</v>
      </c>
    </row>
    <row r="4" spans="1:14" x14ac:dyDescent="0.3">
      <c r="A4" s="17"/>
      <c r="B4" t="s">
        <v>12</v>
      </c>
      <c r="C4" s="5" t="s">
        <v>13</v>
      </c>
      <c r="D4" s="6">
        <v>298.55</v>
      </c>
      <c r="E4" s="6">
        <v>136.44</v>
      </c>
      <c r="F4" s="6">
        <f>SUM(D4:E4)</f>
        <v>434.99</v>
      </c>
      <c r="G4" s="12"/>
      <c r="H4" s="4"/>
      <c r="I4" s="3">
        <v>4</v>
      </c>
      <c r="J4" s="3"/>
      <c r="K4" s="10">
        <f t="shared" si="0"/>
        <v>1194.2</v>
      </c>
      <c r="L4" s="10">
        <f t="shared" si="1"/>
        <v>545.76</v>
      </c>
      <c r="M4" s="11">
        <f t="shared" si="2"/>
        <v>1739.96</v>
      </c>
    </row>
    <row r="5" spans="1:14" x14ac:dyDescent="0.3">
      <c r="A5" s="1"/>
      <c r="J5" s="3"/>
      <c r="K5" s="10"/>
      <c r="L5" s="10"/>
      <c r="M5" s="7"/>
    </row>
    <row r="6" spans="1:14" x14ac:dyDescent="0.3">
      <c r="A6" s="1"/>
      <c r="J6" s="3"/>
      <c r="K6" s="10"/>
      <c r="L6" s="10"/>
      <c r="M6" s="7"/>
    </row>
    <row r="7" spans="1:14" x14ac:dyDescent="0.3">
      <c r="A7" s="17" t="s">
        <v>14</v>
      </c>
      <c r="B7" t="s">
        <v>15</v>
      </c>
      <c r="C7" s="5" t="s">
        <v>16</v>
      </c>
      <c r="D7" s="6">
        <v>190.92</v>
      </c>
      <c r="E7" s="6">
        <v>247.95</v>
      </c>
      <c r="F7" s="6">
        <f>SUM(D7:E7)</f>
        <v>438.87</v>
      </c>
      <c r="G7" s="12">
        <v>100</v>
      </c>
      <c r="H7" s="4"/>
      <c r="I7" s="3">
        <v>2</v>
      </c>
      <c r="J7" s="3"/>
      <c r="K7" s="10">
        <f t="shared" si="0"/>
        <v>381.84</v>
      </c>
      <c r="L7" s="10">
        <f t="shared" si="1"/>
        <v>495.9</v>
      </c>
      <c r="M7" s="11">
        <f t="shared" si="2"/>
        <v>877.74</v>
      </c>
    </row>
    <row r="8" spans="1:14" x14ac:dyDescent="0.3">
      <c r="A8" s="17"/>
      <c r="B8" t="s">
        <v>17</v>
      </c>
      <c r="C8" s="5" t="s">
        <v>18</v>
      </c>
      <c r="D8" s="6">
        <v>97.92</v>
      </c>
      <c r="E8" s="6">
        <v>121.4</v>
      </c>
      <c r="F8" s="6">
        <f>SUM(D8:E8)</f>
        <v>219.32</v>
      </c>
      <c r="G8" s="12"/>
      <c r="H8" s="4"/>
      <c r="I8" s="3">
        <v>2</v>
      </c>
      <c r="J8" s="3"/>
      <c r="K8" s="10">
        <f t="shared" si="0"/>
        <v>195.84</v>
      </c>
      <c r="L8" s="10">
        <f t="shared" si="1"/>
        <v>242.8</v>
      </c>
      <c r="M8" s="11">
        <f t="shared" si="2"/>
        <v>438.64</v>
      </c>
    </row>
    <row r="9" spans="1:14" x14ac:dyDescent="0.3">
      <c r="A9" s="17"/>
      <c r="B9" t="s">
        <v>19</v>
      </c>
      <c r="C9" s="5" t="s">
        <v>20</v>
      </c>
      <c r="D9" s="6">
        <v>181.85</v>
      </c>
      <c r="E9" s="6">
        <v>75.12</v>
      </c>
      <c r="F9" s="6">
        <f>SUM(D9:E9)</f>
        <v>256.97000000000003</v>
      </c>
      <c r="G9" s="12"/>
      <c r="H9" s="4"/>
      <c r="I9" s="3">
        <v>4</v>
      </c>
      <c r="J9" s="3"/>
      <c r="K9" s="10">
        <f t="shared" si="0"/>
        <v>727.4</v>
      </c>
      <c r="L9" s="10">
        <f t="shared" si="1"/>
        <v>300.48</v>
      </c>
      <c r="M9" s="11">
        <f t="shared" si="2"/>
        <v>1027.8800000000001</v>
      </c>
    </row>
    <row r="10" spans="1:14" x14ac:dyDescent="0.3">
      <c r="A10" s="17"/>
      <c r="B10" t="s">
        <v>21</v>
      </c>
      <c r="C10" s="5" t="s">
        <v>22</v>
      </c>
      <c r="D10" s="6">
        <v>173.24</v>
      </c>
      <c r="E10" s="6">
        <v>84.32</v>
      </c>
      <c r="F10" s="6">
        <f>SUM(D10:E10)</f>
        <v>257.56</v>
      </c>
      <c r="G10" s="12"/>
      <c r="H10" s="4"/>
      <c r="I10" s="3">
        <v>4</v>
      </c>
      <c r="J10" s="3"/>
      <c r="K10" s="10">
        <f t="shared" si="0"/>
        <v>692.96</v>
      </c>
      <c r="L10" s="10">
        <f t="shared" si="1"/>
        <v>337.28</v>
      </c>
      <c r="M10" s="11">
        <f t="shared" si="2"/>
        <v>1030.24</v>
      </c>
    </row>
    <row r="11" spans="1:14" x14ac:dyDescent="0.3">
      <c r="A11" s="1"/>
      <c r="F11" s="6"/>
      <c r="G11" s="4"/>
      <c r="H11" s="4"/>
      <c r="J11" s="3"/>
      <c r="K11" s="10"/>
      <c r="L11" s="10"/>
      <c r="M11" s="7"/>
    </row>
    <row r="12" spans="1:14" x14ac:dyDescent="0.3">
      <c r="A12" s="1"/>
      <c r="F12" s="6"/>
      <c r="J12" s="3"/>
      <c r="K12" s="10"/>
      <c r="L12" s="10"/>
      <c r="M12" s="7"/>
    </row>
    <row r="13" spans="1:14" x14ac:dyDescent="0.3">
      <c r="A13" s="17" t="s">
        <v>23</v>
      </c>
      <c r="B13" t="s">
        <v>24</v>
      </c>
      <c r="C13" s="5" t="s">
        <v>25</v>
      </c>
      <c r="D13" s="6">
        <v>642.96</v>
      </c>
      <c r="E13" s="6">
        <v>128.63999999999999</v>
      </c>
      <c r="F13" s="6">
        <f>SUM(D13:E13)</f>
        <v>771.6</v>
      </c>
      <c r="G13" s="12">
        <v>250</v>
      </c>
      <c r="H13" s="4"/>
      <c r="I13" s="3">
        <v>2</v>
      </c>
      <c r="J13" s="3"/>
      <c r="K13" s="10">
        <f t="shared" si="0"/>
        <v>1285.92</v>
      </c>
      <c r="L13" s="10">
        <f t="shared" si="1"/>
        <v>257.27999999999997</v>
      </c>
      <c r="M13" s="11">
        <f t="shared" si="2"/>
        <v>1543.2</v>
      </c>
    </row>
    <row r="14" spans="1:14" x14ac:dyDescent="0.3">
      <c r="A14" s="17"/>
      <c r="B14" t="s">
        <v>26</v>
      </c>
      <c r="C14" s="5" t="s">
        <v>27</v>
      </c>
      <c r="D14" s="6">
        <v>55.3</v>
      </c>
      <c r="E14" s="6">
        <v>23.45</v>
      </c>
      <c r="F14" s="6">
        <f>SUM(D14:E14)</f>
        <v>78.75</v>
      </c>
      <c r="G14" s="12"/>
      <c r="H14" s="4"/>
      <c r="I14" s="3">
        <v>2</v>
      </c>
      <c r="J14" s="3"/>
      <c r="K14" s="10">
        <f t="shared" si="0"/>
        <v>110.6</v>
      </c>
      <c r="L14" s="10">
        <f t="shared" si="1"/>
        <v>46.9</v>
      </c>
      <c r="M14" s="11">
        <f t="shared" si="2"/>
        <v>157.5</v>
      </c>
    </row>
    <row r="15" spans="1:14" x14ac:dyDescent="0.3">
      <c r="A15" s="1"/>
      <c r="F15" s="6"/>
      <c r="G15" s="4"/>
      <c r="H15" s="4"/>
      <c r="J15" s="3"/>
      <c r="K15" s="10"/>
      <c r="L15" s="10"/>
      <c r="M15" s="7"/>
    </row>
    <row r="16" spans="1:14" ht="15" thickBot="1" x14ac:dyDescent="0.35">
      <c r="A16" s="1"/>
      <c r="F16" s="6"/>
      <c r="G16" s="4"/>
      <c r="H16" s="4"/>
      <c r="J16" s="3"/>
      <c r="K16" s="10"/>
      <c r="L16" s="10"/>
      <c r="M16" s="7"/>
    </row>
    <row r="17" spans="1:13" ht="15" thickBot="1" x14ac:dyDescent="0.35">
      <c r="A17" s="17" t="s">
        <v>28</v>
      </c>
      <c r="B17" t="s">
        <v>29</v>
      </c>
      <c r="C17" s="9" t="s">
        <v>30</v>
      </c>
      <c r="D17" s="6">
        <v>686.36</v>
      </c>
      <c r="E17" s="6">
        <v>303.48</v>
      </c>
      <c r="F17" s="6">
        <f t="shared" ref="F17:F26" si="3">SUM(D17:E17)</f>
        <v>989.84</v>
      </c>
      <c r="G17" s="12">
        <v>50</v>
      </c>
      <c r="H17" s="4"/>
      <c r="I17" s="3">
        <v>1</v>
      </c>
      <c r="J17" s="3"/>
      <c r="K17" s="10">
        <f t="shared" si="0"/>
        <v>686.36</v>
      </c>
      <c r="L17" s="10">
        <f t="shared" si="1"/>
        <v>303.48</v>
      </c>
      <c r="M17" s="11">
        <f t="shared" si="2"/>
        <v>989.84</v>
      </c>
    </row>
    <row r="18" spans="1:13" ht="15" thickBot="1" x14ac:dyDescent="0.35">
      <c r="A18" s="17"/>
      <c r="B18" t="s">
        <v>31</v>
      </c>
      <c r="C18" s="5" t="s">
        <v>32</v>
      </c>
      <c r="D18" s="6">
        <v>616.28</v>
      </c>
      <c r="E18" s="6">
        <v>571.13</v>
      </c>
      <c r="F18" s="6">
        <f t="shared" si="3"/>
        <v>1187.4099999999999</v>
      </c>
      <c r="G18" s="12"/>
      <c r="H18" s="4"/>
      <c r="I18" s="3">
        <v>1</v>
      </c>
      <c r="J18" s="3"/>
      <c r="K18" s="10">
        <f t="shared" si="0"/>
        <v>616.28</v>
      </c>
      <c r="L18" s="10">
        <f t="shared" si="1"/>
        <v>571.13</v>
      </c>
      <c r="M18" s="11">
        <f t="shared" si="2"/>
        <v>1187.4099999999999</v>
      </c>
    </row>
    <row r="19" spans="1:13" ht="15" thickBot="1" x14ac:dyDescent="0.35">
      <c r="A19" s="17"/>
      <c r="B19" t="s">
        <v>33</v>
      </c>
      <c r="C19" s="9" t="s">
        <v>34</v>
      </c>
      <c r="D19" s="6">
        <v>885.96</v>
      </c>
      <c r="E19" s="6">
        <v>968.49</v>
      </c>
      <c r="F19" s="6">
        <f t="shared" si="3"/>
        <v>1854.45</v>
      </c>
      <c r="G19" s="12"/>
      <c r="H19" s="4"/>
      <c r="I19" s="3">
        <v>1</v>
      </c>
      <c r="J19" s="3"/>
      <c r="K19" s="10">
        <f t="shared" si="0"/>
        <v>885.96</v>
      </c>
      <c r="L19" s="10">
        <f t="shared" si="1"/>
        <v>968.49</v>
      </c>
      <c r="M19" s="11">
        <f t="shared" si="2"/>
        <v>1854.45</v>
      </c>
    </row>
    <row r="20" spans="1:13" ht="15" thickBot="1" x14ac:dyDescent="0.35">
      <c r="A20" s="17"/>
      <c r="B20" t="s">
        <v>35</v>
      </c>
      <c r="C20" s="9" t="s">
        <v>36</v>
      </c>
      <c r="D20" s="6">
        <v>490.59</v>
      </c>
      <c r="E20" s="6">
        <v>588.51</v>
      </c>
      <c r="F20" s="6">
        <f t="shared" si="3"/>
        <v>1079.0999999999999</v>
      </c>
      <c r="G20" s="12"/>
      <c r="H20" s="4"/>
      <c r="I20" s="3">
        <v>1</v>
      </c>
      <c r="J20" s="3"/>
      <c r="K20" s="10">
        <f t="shared" si="0"/>
        <v>490.59</v>
      </c>
      <c r="L20" s="10">
        <f t="shared" si="1"/>
        <v>588.51</v>
      </c>
      <c r="M20" s="11">
        <f t="shared" si="2"/>
        <v>1079.0999999999999</v>
      </c>
    </row>
    <row r="21" spans="1:13" x14ac:dyDescent="0.3">
      <c r="A21" s="17"/>
      <c r="B21" t="s">
        <v>37</v>
      </c>
      <c r="C21" s="5" t="s">
        <v>38</v>
      </c>
      <c r="D21" s="6">
        <v>521.22</v>
      </c>
      <c r="E21" s="6">
        <v>551.78</v>
      </c>
      <c r="F21" s="6">
        <f t="shared" si="3"/>
        <v>1073</v>
      </c>
      <c r="G21" s="12"/>
      <c r="H21" s="4"/>
      <c r="I21" s="3">
        <v>1</v>
      </c>
      <c r="J21" s="3"/>
      <c r="K21" s="10">
        <f t="shared" si="0"/>
        <v>521.22</v>
      </c>
      <c r="L21" s="10">
        <f t="shared" si="1"/>
        <v>551.78</v>
      </c>
      <c r="M21" s="11">
        <f t="shared" si="2"/>
        <v>1073</v>
      </c>
    </row>
    <row r="22" spans="1:13" x14ac:dyDescent="0.3">
      <c r="A22" s="17"/>
      <c r="B22" t="s">
        <v>39</v>
      </c>
      <c r="C22" s="5" t="s">
        <v>40</v>
      </c>
      <c r="D22" s="6">
        <v>624.38</v>
      </c>
      <c r="E22" s="6">
        <v>448.83</v>
      </c>
      <c r="F22" s="6">
        <f t="shared" si="3"/>
        <v>1073.21</v>
      </c>
      <c r="G22" s="12"/>
      <c r="H22" s="4"/>
      <c r="I22" s="3">
        <v>1</v>
      </c>
      <c r="J22" s="3"/>
      <c r="K22" s="10">
        <f t="shared" si="0"/>
        <v>624.38</v>
      </c>
      <c r="L22" s="10">
        <f t="shared" si="1"/>
        <v>448.83</v>
      </c>
      <c r="M22" s="11">
        <f t="shared" si="2"/>
        <v>1073.21</v>
      </c>
    </row>
    <row r="23" spans="1:13" x14ac:dyDescent="0.3">
      <c r="A23" s="1"/>
      <c r="F23" s="6"/>
      <c r="G23" s="4"/>
      <c r="H23" s="4"/>
      <c r="J23" s="3"/>
      <c r="K23" s="10"/>
      <c r="L23" s="10"/>
      <c r="M23" s="7"/>
    </row>
    <row r="24" spans="1:13" x14ac:dyDescent="0.3">
      <c r="A24" s="1"/>
      <c r="F24" s="6"/>
      <c r="J24" s="3"/>
      <c r="K24" s="10"/>
      <c r="L24" s="10"/>
      <c r="M24" s="7"/>
    </row>
    <row r="25" spans="1:13" ht="15" thickBot="1" x14ac:dyDescent="0.35">
      <c r="A25" s="17" t="s">
        <v>41</v>
      </c>
      <c r="B25" t="s">
        <v>42</v>
      </c>
      <c r="C25" s="5" t="s">
        <v>43</v>
      </c>
      <c r="D25" s="6">
        <v>286.47000000000003</v>
      </c>
      <c r="E25" s="6">
        <v>199.01</v>
      </c>
      <c r="F25" s="6">
        <f t="shared" si="3"/>
        <v>485.48</v>
      </c>
      <c r="G25" s="12">
        <v>50</v>
      </c>
      <c r="H25" s="4"/>
      <c r="I25" s="3">
        <v>2</v>
      </c>
      <c r="J25" s="3"/>
      <c r="K25" s="10">
        <f t="shared" si="0"/>
        <v>572.94000000000005</v>
      </c>
      <c r="L25" s="10">
        <f t="shared" si="1"/>
        <v>398.02</v>
      </c>
      <c r="M25" s="11">
        <f t="shared" si="2"/>
        <v>970.96</v>
      </c>
    </row>
    <row r="26" spans="1:13" ht="15" thickBot="1" x14ac:dyDescent="0.35">
      <c r="A26" s="17"/>
      <c r="B26" t="s">
        <v>44</v>
      </c>
      <c r="C26" s="9" t="s">
        <v>45</v>
      </c>
      <c r="D26" s="6">
        <v>400.24</v>
      </c>
      <c r="E26" s="6">
        <v>265.08</v>
      </c>
      <c r="F26" s="6">
        <f t="shared" si="3"/>
        <v>665.31999999999994</v>
      </c>
      <c r="G26" s="12"/>
      <c r="H26" s="4"/>
      <c r="I26" s="3">
        <v>2</v>
      </c>
      <c r="J26" s="3"/>
      <c r="K26" s="10">
        <f t="shared" si="0"/>
        <v>800.48</v>
      </c>
      <c r="L26" s="10">
        <f t="shared" si="1"/>
        <v>530.16</v>
      </c>
      <c r="M26" s="11">
        <f>K26+L26</f>
        <v>1330.6399999999999</v>
      </c>
    </row>
    <row r="28" spans="1:13" x14ac:dyDescent="0.3">
      <c r="J28" s="3"/>
      <c r="K28" s="3"/>
      <c r="L28" s="3"/>
    </row>
    <row r="29" spans="1:13" x14ac:dyDescent="0.3">
      <c r="G29" s="2">
        <f>SUM(G2:G27)</f>
        <v>500</v>
      </c>
    </row>
  </sheetData>
  <mergeCells count="10">
    <mergeCell ref="A17:A22"/>
    <mergeCell ref="G17:G22"/>
    <mergeCell ref="A25:A26"/>
    <mergeCell ref="G25:G26"/>
    <mergeCell ref="A2:A4"/>
    <mergeCell ref="G2:G4"/>
    <mergeCell ref="A7:A10"/>
    <mergeCell ref="G7:G10"/>
    <mergeCell ref="A13:A14"/>
    <mergeCell ref="G13:G1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062F-238F-4586-AE90-4C577F46E1C4}">
  <dimension ref="A1:Q32"/>
  <sheetViews>
    <sheetView tabSelected="1" zoomScale="90" zoomScaleNormal="90" workbookViewId="0"/>
  </sheetViews>
  <sheetFormatPr defaultRowHeight="14.4" x14ac:dyDescent="0.3"/>
  <cols>
    <col min="1" max="1" width="9.88671875" style="4" bestFit="1" customWidth="1"/>
    <col min="2" max="2" width="49.44140625" customWidth="1"/>
    <col min="3" max="3" width="14.33203125" style="5" bestFit="1" customWidth="1"/>
    <col min="4" max="5" width="11" style="6" bestFit="1" customWidth="1"/>
    <col min="6" max="6" width="12.5546875" style="8" bestFit="1" customWidth="1"/>
    <col min="7" max="7" width="12" style="3" bestFit="1" customWidth="1"/>
    <col min="8" max="8" width="6.109375" style="3" customWidth="1"/>
    <col min="9" max="9" width="9.33203125" style="3" bestFit="1" customWidth="1"/>
    <col min="10" max="10" width="6.109375" customWidth="1"/>
    <col min="11" max="11" width="12.5546875" bestFit="1" customWidth="1"/>
    <col min="12" max="12" width="11.88671875" customWidth="1"/>
    <col min="13" max="13" width="14.77734375" bestFit="1" customWidth="1"/>
    <col min="14" max="14" width="6.21875" customWidth="1"/>
    <col min="15" max="15" width="14.21875" style="18" bestFit="1" customWidth="1"/>
    <col min="16" max="16" width="6.21875" style="18" customWidth="1"/>
    <col min="17" max="17" width="13" style="18" bestFit="1" customWidth="1"/>
  </cols>
  <sheetData>
    <row r="1" spans="1:17" s="3" customFormat="1" ht="28.8" x14ac:dyDescent="0.3">
      <c r="A1" s="1" t="s">
        <v>0</v>
      </c>
      <c r="B1" s="1" t="s">
        <v>1</v>
      </c>
      <c r="C1" s="13" t="s">
        <v>2</v>
      </c>
      <c r="D1" s="14" t="s">
        <v>3</v>
      </c>
      <c r="E1" s="14" t="s">
        <v>4</v>
      </c>
      <c r="F1" s="13" t="s">
        <v>5</v>
      </c>
      <c r="G1" s="1" t="s">
        <v>6</v>
      </c>
      <c r="H1" s="1"/>
      <c r="I1" s="1" t="s">
        <v>7</v>
      </c>
      <c r="J1" s="1"/>
      <c r="K1" s="14" t="s">
        <v>3</v>
      </c>
      <c r="L1" s="14" t="s">
        <v>4</v>
      </c>
      <c r="M1" s="1" t="s">
        <v>47</v>
      </c>
      <c r="N1" s="1"/>
      <c r="O1" s="15" t="s">
        <v>49</v>
      </c>
      <c r="P1" s="15"/>
      <c r="Q1" s="15" t="s">
        <v>48</v>
      </c>
    </row>
    <row r="2" spans="1:17" x14ac:dyDescent="0.3">
      <c r="A2" s="16" t="s">
        <v>46</v>
      </c>
      <c r="B2" t="s">
        <v>8</v>
      </c>
      <c r="C2" s="5" t="s">
        <v>9</v>
      </c>
      <c r="D2" s="6">
        <v>746.46</v>
      </c>
      <c r="E2" s="6">
        <v>245.99</v>
      </c>
      <c r="F2" s="6">
        <f>SUM(D2:E2)</f>
        <v>992.45</v>
      </c>
      <c r="G2" s="12">
        <v>50</v>
      </c>
      <c r="H2" s="4"/>
      <c r="I2" s="3">
        <v>4</v>
      </c>
      <c r="J2" s="3"/>
      <c r="K2" s="10">
        <f>I2*D2</f>
        <v>2985.84</v>
      </c>
      <c r="L2" s="10">
        <f>I2*E2</f>
        <v>983.96</v>
      </c>
      <c r="M2" s="11">
        <f>K2+L2</f>
        <v>3969.8</v>
      </c>
      <c r="O2" s="11">
        <f>M2*0.95</f>
        <v>3771.31</v>
      </c>
      <c r="P2" s="11"/>
      <c r="Q2" s="11">
        <f>L2*0.7</f>
        <v>688.77199999999993</v>
      </c>
    </row>
    <row r="3" spans="1:17" x14ac:dyDescent="0.3">
      <c r="A3" s="17"/>
      <c r="B3" t="s">
        <v>10</v>
      </c>
      <c r="C3" s="5" t="s">
        <v>11</v>
      </c>
      <c r="D3" s="6">
        <v>399.57</v>
      </c>
      <c r="E3" s="6">
        <v>210.49</v>
      </c>
      <c r="F3" s="6">
        <f>SUM(D3:E3)</f>
        <v>610.05999999999995</v>
      </c>
      <c r="G3" s="12"/>
      <c r="H3" s="4"/>
      <c r="I3" s="3">
        <v>4</v>
      </c>
      <c r="J3" s="3"/>
      <c r="K3" s="10">
        <f t="shared" ref="K3:K29" si="0">I3*D3</f>
        <v>1598.28</v>
      </c>
      <c r="L3" s="10">
        <f t="shared" ref="L3:L29" si="1">I3*E3</f>
        <v>841.96</v>
      </c>
      <c r="M3" s="11">
        <f t="shared" ref="M3:M28" si="2">K3+L3</f>
        <v>2440.2399999999998</v>
      </c>
      <c r="O3" s="11">
        <f t="shared" ref="O3:O29" si="3">M3*0.95</f>
        <v>2318.2279999999996</v>
      </c>
      <c r="P3" s="11"/>
      <c r="Q3" s="11">
        <f t="shared" ref="Q3:Q4" si="4">L3*0.7</f>
        <v>589.37199999999996</v>
      </c>
    </row>
    <row r="4" spans="1:17" x14ac:dyDescent="0.3">
      <c r="A4" s="17"/>
      <c r="B4" t="s">
        <v>12</v>
      </c>
      <c r="C4" s="5" t="s">
        <v>13</v>
      </c>
      <c r="D4" s="6">
        <v>298.55</v>
      </c>
      <c r="E4" s="6">
        <v>136.44</v>
      </c>
      <c r="F4" s="6">
        <f>SUM(D4:E4)</f>
        <v>434.99</v>
      </c>
      <c r="G4" s="12"/>
      <c r="H4" s="4"/>
      <c r="I4" s="3">
        <v>4</v>
      </c>
      <c r="J4" s="3"/>
      <c r="K4" s="10">
        <f t="shared" si="0"/>
        <v>1194.2</v>
      </c>
      <c r="L4" s="10">
        <f t="shared" si="1"/>
        <v>545.76</v>
      </c>
      <c r="M4" s="11">
        <f t="shared" si="2"/>
        <v>1739.96</v>
      </c>
      <c r="O4" s="11">
        <f t="shared" si="3"/>
        <v>1652.962</v>
      </c>
      <c r="P4" s="11"/>
      <c r="Q4" s="11">
        <f t="shared" si="4"/>
        <v>382.03199999999998</v>
      </c>
    </row>
    <row r="5" spans="1:17" x14ac:dyDescent="0.3">
      <c r="A5" s="1"/>
      <c r="J5" s="3"/>
      <c r="K5" s="10"/>
      <c r="L5" s="10"/>
      <c r="M5" s="7"/>
      <c r="O5" s="11"/>
      <c r="P5" s="11"/>
    </row>
    <row r="6" spans="1:17" x14ac:dyDescent="0.3">
      <c r="A6" s="1"/>
      <c r="J6" s="3"/>
      <c r="K6" s="10"/>
      <c r="L6" s="10"/>
      <c r="M6" s="7"/>
      <c r="O6" s="11"/>
      <c r="P6" s="11"/>
    </row>
    <row r="7" spans="1:17" x14ac:dyDescent="0.3">
      <c r="A7" s="17" t="s">
        <v>14</v>
      </c>
      <c r="B7" t="s">
        <v>15</v>
      </c>
      <c r="C7" s="5" t="s">
        <v>16</v>
      </c>
      <c r="D7" s="6">
        <v>190.92</v>
      </c>
      <c r="E7" s="6">
        <v>247.95</v>
      </c>
      <c r="F7" s="6">
        <f>SUM(D7:E7)</f>
        <v>438.87</v>
      </c>
      <c r="G7" s="12">
        <v>100</v>
      </c>
      <c r="H7" s="4"/>
      <c r="I7" s="3">
        <v>2</v>
      </c>
      <c r="J7" s="3"/>
      <c r="K7" s="10">
        <f t="shared" si="0"/>
        <v>381.84</v>
      </c>
      <c r="L7" s="10">
        <f t="shared" si="1"/>
        <v>495.9</v>
      </c>
      <c r="M7" s="11">
        <f t="shared" si="2"/>
        <v>877.74</v>
      </c>
      <c r="O7" s="11">
        <f t="shared" si="3"/>
        <v>833.85299999999995</v>
      </c>
      <c r="P7" s="11"/>
      <c r="Q7" s="11">
        <f>L7*0.7</f>
        <v>347.12999999999994</v>
      </c>
    </row>
    <row r="8" spans="1:17" x14ac:dyDescent="0.3">
      <c r="A8" s="17"/>
      <c r="B8" t="s">
        <v>17</v>
      </c>
      <c r="C8" s="5" t="s">
        <v>18</v>
      </c>
      <c r="D8" s="6">
        <v>97.92</v>
      </c>
      <c r="E8" s="6">
        <v>121.4</v>
      </c>
      <c r="F8" s="6">
        <f>SUM(D8:E8)</f>
        <v>219.32</v>
      </c>
      <c r="G8" s="12"/>
      <c r="H8" s="4"/>
      <c r="I8" s="3">
        <v>2</v>
      </c>
      <c r="J8" s="3"/>
      <c r="K8" s="10">
        <f t="shared" si="0"/>
        <v>195.84</v>
      </c>
      <c r="L8" s="10">
        <f t="shared" si="1"/>
        <v>242.8</v>
      </c>
      <c r="M8" s="11">
        <f t="shared" si="2"/>
        <v>438.64</v>
      </c>
      <c r="O8" s="11">
        <f t="shared" si="3"/>
        <v>416.70799999999997</v>
      </c>
      <c r="P8" s="11"/>
      <c r="Q8" s="11">
        <f>L8*0.7</f>
        <v>169.96</v>
      </c>
    </row>
    <row r="9" spans="1:17" x14ac:dyDescent="0.3">
      <c r="A9" s="17"/>
      <c r="B9" t="s">
        <v>19</v>
      </c>
      <c r="C9" s="5" t="s">
        <v>20</v>
      </c>
      <c r="D9" s="6">
        <v>181.85</v>
      </c>
      <c r="E9" s="6">
        <v>75.12</v>
      </c>
      <c r="F9" s="6">
        <f>SUM(D9:E9)</f>
        <v>256.97000000000003</v>
      </c>
      <c r="G9" s="12"/>
      <c r="H9" s="4"/>
      <c r="I9" s="3">
        <v>4</v>
      </c>
      <c r="J9" s="3"/>
      <c r="K9" s="10">
        <f t="shared" si="0"/>
        <v>727.4</v>
      </c>
      <c r="L9" s="10">
        <f t="shared" si="1"/>
        <v>300.48</v>
      </c>
      <c r="M9" s="11">
        <f t="shared" si="2"/>
        <v>1027.8800000000001</v>
      </c>
      <c r="O9" s="11">
        <f t="shared" si="3"/>
        <v>976.4860000000001</v>
      </c>
      <c r="P9" s="11"/>
      <c r="Q9" s="11">
        <f>L9*0.7</f>
        <v>210.33600000000001</v>
      </c>
    </row>
    <row r="10" spans="1:17" x14ac:dyDescent="0.3">
      <c r="A10" s="17"/>
      <c r="B10" t="s">
        <v>21</v>
      </c>
      <c r="C10" s="5" t="s">
        <v>22</v>
      </c>
      <c r="D10" s="6">
        <v>173.24</v>
      </c>
      <c r="E10" s="6">
        <v>84.32</v>
      </c>
      <c r="F10" s="6">
        <f>SUM(D10:E10)</f>
        <v>257.56</v>
      </c>
      <c r="G10" s="12"/>
      <c r="H10" s="4"/>
      <c r="I10" s="3">
        <v>4</v>
      </c>
      <c r="J10" s="3"/>
      <c r="K10" s="10">
        <f t="shared" si="0"/>
        <v>692.96</v>
      </c>
      <c r="L10" s="10">
        <f t="shared" si="1"/>
        <v>337.28</v>
      </c>
      <c r="M10" s="11">
        <f t="shared" si="2"/>
        <v>1030.24</v>
      </c>
      <c r="O10" s="11">
        <f t="shared" si="3"/>
        <v>978.72799999999995</v>
      </c>
      <c r="P10" s="11"/>
      <c r="Q10" s="11">
        <f>L10*0.7</f>
        <v>236.09599999999998</v>
      </c>
    </row>
    <row r="11" spans="1:17" x14ac:dyDescent="0.3">
      <c r="A11" s="1"/>
      <c r="F11" s="6"/>
      <c r="G11" s="4"/>
      <c r="H11" s="4"/>
      <c r="J11" s="3"/>
      <c r="K11" s="10"/>
      <c r="L11" s="10"/>
      <c r="M11" s="7"/>
      <c r="O11" s="11"/>
      <c r="P11" s="11"/>
      <c r="Q11" s="11"/>
    </row>
    <row r="12" spans="1:17" x14ac:dyDescent="0.3">
      <c r="A12" s="1"/>
      <c r="F12" s="6"/>
      <c r="J12" s="3"/>
      <c r="K12" s="10"/>
      <c r="L12" s="10"/>
      <c r="M12" s="7"/>
      <c r="O12" s="11"/>
      <c r="P12" s="11"/>
      <c r="Q12" s="11"/>
    </row>
    <row r="13" spans="1:17" x14ac:dyDescent="0.3">
      <c r="A13" s="17" t="s">
        <v>23</v>
      </c>
      <c r="B13" t="s">
        <v>24</v>
      </c>
      <c r="C13" s="5" t="s">
        <v>25</v>
      </c>
      <c r="D13" s="6">
        <v>642.96</v>
      </c>
      <c r="E13" s="6">
        <v>128.63999999999999</v>
      </c>
      <c r="F13" s="6">
        <f>SUM(D13:E13)</f>
        <v>771.6</v>
      </c>
      <c r="G13" s="12">
        <v>250</v>
      </c>
      <c r="H13" s="4"/>
      <c r="I13" s="3">
        <v>2</v>
      </c>
      <c r="J13" s="3"/>
      <c r="K13" s="10">
        <f t="shared" si="0"/>
        <v>1285.92</v>
      </c>
      <c r="L13" s="10">
        <f t="shared" si="1"/>
        <v>257.27999999999997</v>
      </c>
      <c r="M13" s="11">
        <f t="shared" si="2"/>
        <v>1543.2</v>
      </c>
      <c r="O13" s="11">
        <f t="shared" si="3"/>
        <v>1466.04</v>
      </c>
      <c r="P13" s="11"/>
      <c r="Q13" s="11">
        <v>0</v>
      </c>
    </row>
    <row r="14" spans="1:17" x14ac:dyDescent="0.3">
      <c r="A14" s="17"/>
      <c r="B14" t="s">
        <v>26</v>
      </c>
      <c r="C14" s="5" t="s">
        <v>27</v>
      </c>
      <c r="D14" s="6">
        <v>55.3</v>
      </c>
      <c r="E14" s="6">
        <v>23.45</v>
      </c>
      <c r="F14" s="6">
        <f>SUM(D14:E14)</f>
        <v>78.75</v>
      </c>
      <c r="G14" s="12"/>
      <c r="H14" s="4"/>
      <c r="I14" s="3">
        <v>2</v>
      </c>
      <c r="J14" s="3"/>
      <c r="K14" s="10">
        <f t="shared" si="0"/>
        <v>110.6</v>
      </c>
      <c r="L14" s="10">
        <f t="shared" si="1"/>
        <v>46.9</v>
      </c>
      <c r="M14" s="11">
        <f t="shared" si="2"/>
        <v>157.5</v>
      </c>
      <c r="O14" s="11">
        <f t="shared" si="3"/>
        <v>149.625</v>
      </c>
      <c r="P14" s="11"/>
      <c r="Q14" s="11">
        <v>0</v>
      </c>
    </row>
    <row r="15" spans="1:17" x14ac:dyDescent="0.3">
      <c r="A15" s="1"/>
      <c r="F15" s="6"/>
      <c r="G15" s="4"/>
      <c r="H15" s="4"/>
      <c r="J15" s="3"/>
      <c r="K15" s="10"/>
      <c r="L15" s="10"/>
      <c r="M15" s="7"/>
      <c r="O15" s="11"/>
      <c r="P15" s="11"/>
      <c r="Q15" s="11"/>
    </row>
    <row r="16" spans="1:17" x14ac:dyDescent="0.3">
      <c r="A16" s="1" t="s">
        <v>54</v>
      </c>
      <c r="B16" s="20" t="s">
        <v>50</v>
      </c>
      <c r="C16" s="20"/>
      <c r="D16" s="20"/>
      <c r="E16" s="20"/>
      <c r="F16" s="20"/>
      <c r="G16" s="4"/>
      <c r="H16" s="4"/>
      <c r="N16" s="19"/>
      <c r="O16" s="21">
        <v>0</v>
      </c>
      <c r="P16" s="2"/>
      <c r="Q16" s="11">
        <v>1000</v>
      </c>
    </row>
    <row r="17" spans="1:17" ht="15" thickBot="1" x14ac:dyDescent="0.35">
      <c r="A17" s="1"/>
      <c r="F17" s="6"/>
      <c r="G17" s="4"/>
      <c r="H17" s="4"/>
      <c r="J17" s="3"/>
      <c r="K17" s="10"/>
      <c r="L17" s="10"/>
      <c r="M17" s="7"/>
      <c r="O17" s="11"/>
      <c r="P17" s="11"/>
      <c r="Q17" s="11"/>
    </row>
    <row r="18" spans="1:17" ht="15" thickBot="1" x14ac:dyDescent="0.35">
      <c r="A18" s="17" t="s">
        <v>28</v>
      </c>
      <c r="B18" t="s">
        <v>29</v>
      </c>
      <c r="C18" s="9" t="s">
        <v>30</v>
      </c>
      <c r="D18" s="6">
        <v>686.36</v>
      </c>
      <c r="E18" s="6">
        <v>303.48</v>
      </c>
      <c r="F18" s="6">
        <f t="shared" ref="F18:F29" si="5">SUM(D18:E18)</f>
        <v>989.84</v>
      </c>
      <c r="G18" s="12">
        <v>50</v>
      </c>
      <c r="H18" s="4"/>
      <c r="I18" s="3">
        <v>1</v>
      </c>
      <c r="J18" s="3"/>
      <c r="K18" s="10">
        <f t="shared" si="0"/>
        <v>686.36</v>
      </c>
      <c r="L18" s="10">
        <f t="shared" si="1"/>
        <v>303.48</v>
      </c>
      <c r="M18" s="11">
        <f t="shared" si="2"/>
        <v>989.84</v>
      </c>
      <c r="O18" s="11">
        <f t="shared" si="3"/>
        <v>940.34799999999996</v>
      </c>
      <c r="P18" s="11"/>
      <c r="Q18" s="11"/>
    </row>
    <row r="19" spans="1:17" ht="15" thickBot="1" x14ac:dyDescent="0.35">
      <c r="A19" s="17"/>
      <c r="B19" t="s">
        <v>31</v>
      </c>
      <c r="C19" s="5" t="s">
        <v>32</v>
      </c>
      <c r="D19" s="6">
        <v>616.28</v>
      </c>
      <c r="E19" s="6">
        <v>571.13</v>
      </c>
      <c r="F19" s="6">
        <f t="shared" si="5"/>
        <v>1187.4099999999999</v>
      </c>
      <c r="G19" s="12"/>
      <c r="H19" s="4"/>
      <c r="I19" s="3">
        <v>1</v>
      </c>
      <c r="J19" s="3"/>
      <c r="K19" s="10">
        <f t="shared" si="0"/>
        <v>616.28</v>
      </c>
      <c r="L19" s="10">
        <f t="shared" si="1"/>
        <v>571.13</v>
      </c>
      <c r="M19" s="11">
        <f t="shared" si="2"/>
        <v>1187.4099999999999</v>
      </c>
      <c r="O19" s="11">
        <f t="shared" si="3"/>
        <v>1128.0394999999999</v>
      </c>
      <c r="P19" s="11"/>
      <c r="Q19" s="11"/>
    </row>
    <row r="20" spans="1:17" ht="15" thickBot="1" x14ac:dyDescent="0.35">
      <c r="A20" s="17"/>
      <c r="B20" t="s">
        <v>33</v>
      </c>
      <c r="C20" s="9" t="s">
        <v>34</v>
      </c>
      <c r="D20" s="6">
        <v>885.96</v>
      </c>
      <c r="E20" s="6">
        <v>968.49</v>
      </c>
      <c r="F20" s="6">
        <f t="shared" si="5"/>
        <v>1854.45</v>
      </c>
      <c r="G20" s="12"/>
      <c r="H20" s="4"/>
      <c r="I20" s="3">
        <v>1</v>
      </c>
      <c r="J20" s="3"/>
      <c r="K20" s="10">
        <f t="shared" si="0"/>
        <v>885.96</v>
      </c>
      <c r="L20" s="10">
        <f t="shared" si="1"/>
        <v>968.49</v>
      </c>
      <c r="M20" s="11">
        <f t="shared" si="2"/>
        <v>1854.45</v>
      </c>
      <c r="O20" s="11">
        <f t="shared" si="3"/>
        <v>1761.7275</v>
      </c>
      <c r="P20" s="11"/>
      <c r="Q20" s="11"/>
    </row>
    <row r="21" spans="1:17" ht="15" thickBot="1" x14ac:dyDescent="0.35">
      <c r="A21" s="17"/>
      <c r="B21" t="s">
        <v>35</v>
      </c>
      <c r="C21" s="9" t="s">
        <v>36</v>
      </c>
      <c r="D21" s="6">
        <v>490.59</v>
      </c>
      <c r="E21" s="6">
        <v>588.51</v>
      </c>
      <c r="F21" s="6">
        <f t="shared" si="5"/>
        <v>1079.0999999999999</v>
      </c>
      <c r="G21" s="12"/>
      <c r="H21" s="4"/>
      <c r="I21" s="3">
        <v>1</v>
      </c>
      <c r="J21" s="3"/>
      <c r="K21" s="10">
        <f t="shared" si="0"/>
        <v>490.59</v>
      </c>
      <c r="L21" s="10">
        <f t="shared" si="1"/>
        <v>588.51</v>
      </c>
      <c r="M21" s="11">
        <f t="shared" si="2"/>
        <v>1079.0999999999999</v>
      </c>
      <c r="O21" s="11">
        <f t="shared" si="3"/>
        <v>1025.1449999999998</v>
      </c>
      <c r="P21" s="11"/>
      <c r="Q21" s="11"/>
    </row>
    <row r="22" spans="1:17" x14ac:dyDescent="0.3">
      <c r="A22" s="17"/>
      <c r="B22" t="s">
        <v>37</v>
      </c>
      <c r="C22" s="5" t="s">
        <v>38</v>
      </c>
      <c r="D22" s="6">
        <v>521.22</v>
      </c>
      <c r="E22" s="6">
        <v>551.78</v>
      </c>
      <c r="F22" s="6">
        <f t="shared" si="5"/>
        <v>1073</v>
      </c>
      <c r="G22" s="12"/>
      <c r="H22" s="4"/>
      <c r="I22" s="3">
        <v>1</v>
      </c>
      <c r="J22" s="3"/>
      <c r="K22" s="10">
        <f t="shared" si="0"/>
        <v>521.22</v>
      </c>
      <c r="L22" s="10">
        <f t="shared" si="1"/>
        <v>551.78</v>
      </c>
      <c r="M22" s="11">
        <f t="shared" si="2"/>
        <v>1073</v>
      </c>
      <c r="O22" s="11">
        <f t="shared" si="3"/>
        <v>1019.3499999999999</v>
      </c>
      <c r="P22" s="11"/>
      <c r="Q22" s="11"/>
    </row>
    <row r="23" spans="1:17" x14ac:dyDescent="0.3">
      <c r="A23" s="17"/>
      <c r="B23" t="s">
        <v>39</v>
      </c>
      <c r="C23" s="5" t="s">
        <v>40</v>
      </c>
      <c r="D23" s="6">
        <v>624.38</v>
      </c>
      <c r="E23" s="6">
        <v>448.83</v>
      </c>
      <c r="F23" s="6">
        <f t="shared" si="5"/>
        <v>1073.21</v>
      </c>
      <c r="G23" s="12"/>
      <c r="H23" s="4"/>
      <c r="I23" s="3">
        <v>1</v>
      </c>
      <c r="J23" s="3"/>
      <c r="K23" s="10">
        <f t="shared" si="0"/>
        <v>624.38</v>
      </c>
      <c r="L23" s="10">
        <f t="shared" si="1"/>
        <v>448.83</v>
      </c>
      <c r="M23" s="11">
        <f t="shared" si="2"/>
        <v>1073.21</v>
      </c>
      <c r="O23" s="11">
        <f t="shared" si="3"/>
        <v>1019.5495</v>
      </c>
      <c r="P23" s="11"/>
      <c r="Q23" s="11"/>
    </row>
    <row r="24" spans="1:17" x14ac:dyDescent="0.3">
      <c r="A24" s="1"/>
      <c r="B24" s="20" t="s">
        <v>53</v>
      </c>
      <c r="C24" s="20"/>
      <c r="D24" s="20"/>
      <c r="E24" s="20"/>
      <c r="F24" s="20"/>
      <c r="G24" s="4"/>
      <c r="N24" s="19"/>
      <c r="O24" s="21">
        <v>0</v>
      </c>
      <c r="P24" s="11"/>
      <c r="Q24" s="11">
        <v>1000</v>
      </c>
    </row>
    <row r="25" spans="1:17" x14ac:dyDescent="0.3">
      <c r="A25" s="1"/>
      <c r="B25" s="20" t="s">
        <v>51</v>
      </c>
      <c r="C25" s="20"/>
      <c r="D25" s="20"/>
      <c r="E25" s="20"/>
      <c r="F25" s="20"/>
      <c r="G25" s="4"/>
      <c r="N25" s="19"/>
      <c r="O25" s="21">
        <v>0</v>
      </c>
      <c r="P25" s="11"/>
      <c r="Q25" s="11">
        <v>2000</v>
      </c>
    </row>
    <row r="26" spans="1:17" x14ac:dyDescent="0.3">
      <c r="A26" s="1"/>
      <c r="F26" s="6"/>
      <c r="G26" s="4"/>
      <c r="H26" s="4"/>
      <c r="J26" s="3"/>
      <c r="K26" s="10"/>
      <c r="L26" s="10"/>
      <c r="M26" s="7"/>
      <c r="O26" s="11"/>
      <c r="P26" s="11"/>
      <c r="Q26" s="11"/>
    </row>
    <row r="27" spans="1:17" x14ac:dyDescent="0.3">
      <c r="A27" s="1"/>
      <c r="F27" s="6"/>
      <c r="J27" s="3"/>
      <c r="K27" s="10"/>
      <c r="L27" s="10"/>
      <c r="M27" s="7"/>
      <c r="O27" s="11"/>
      <c r="P27" s="11"/>
      <c r="Q27" s="11"/>
    </row>
    <row r="28" spans="1:17" ht="15" thickBot="1" x14ac:dyDescent="0.35">
      <c r="A28" s="17" t="s">
        <v>41</v>
      </c>
      <c r="B28" t="s">
        <v>42</v>
      </c>
      <c r="C28" s="5" t="s">
        <v>43</v>
      </c>
      <c r="D28" s="6">
        <v>286.47000000000003</v>
      </c>
      <c r="E28" s="6">
        <v>199.01</v>
      </c>
      <c r="F28" s="6">
        <f t="shared" si="5"/>
        <v>485.48</v>
      </c>
      <c r="G28" s="12">
        <v>50</v>
      </c>
      <c r="H28" s="4"/>
      <c r="I28" s="3">
        <v>2</v>
      </c>
      <c r="J28" s="3"/>
      <c r="K28" s="10">
        <f t="shared" si="0"/>
        <v>572.94000000000005</v>
      </c>
      <c r="L28" s="10">
        <f t="shared" si="1"/>
        <v>398.02</v>
      </c>
      <c r="M28" s="11">
        <f t="shared" si="2"/>
        <v>970.96</v>
      </c>
      <c r="O28" s="11">
        <f t="shared" si="3"/>
        <v>922.41200000000003</v>
      </c>
      <c r="P28" s="11"/>
      <c r="Q28" s="11">
        <f>L28*0.7</f>
        <v>278.61399999999998</v>
      </c>
    </row>
    <row r="29" spans="1:17" ht="15" thickBot="1" x14ac:dyDescent="0.35">
      <c r="A29" s="17"/>
      <c r="B29" t="s">
        <v>44</v>
      </c>
      <c r="C29" s="9" t="s">
        <v>45</v>
      </c>
      <c r="D29" s="6">
        <v>400.24</v>
      </c>
      <c r="E29" s="6">
        <v>265.08</v>
      </c>
      <c r="F29" s="6">
        <f t="shared" si="5"/>
        <v>665.31999999999994</v>
      </c>
      <c r="G29" s="12"/>
      <c r="H29" s="4"/>
      <c r="I29" s="3">
        <v>2</v>
      </c>
      <c r="J29" s="3"/>
      <c r="K29" s="10">
        <f t="shared" si="0"/>
        <v>800.48</v>
      </c>
      <c r="L29" s="10">
        <f t="shared" si="1"/>
        <v>530.16</v>
      </c>
      <c r="M29" s="11">
        <f>K29+L29</f>
        <v>1330.6399999999999</v>
      </c>
      <c r="O29" s="11">
        <f t="shared" si="3"/>
        <v>1264.1079999999997</v>
      </c>
      <c r="P29" s="11"/>
      <c r="Q29" s="11">
        <f>L29*0.7</f>
        <v>371.11199999999997</v>
      </c>
    </row>
    <row r="30" spans="1:17" x14ac:dyDescent="0.3">
      <c r="B30" s="20" t="s">
        <v>52</v>
      </c>
      <c r="C30" s="20"/>
      <c r="D30" s="20"/>
      <c r="E30" s="20"/>
      <c r="F30" s="20"/>
      <c r="N30" s="19"/>
      <c r="O30" s="21">
        <v>0</v>
      </c>
      <c r="Q30" s="11">
        <v>1000</v>
      </c>
    </row>
    <row r="31" spans="1:17" x14ac:dyDescent="0.3">
      <c r="J31" s="3"/>
      <c r="K31" s="3"/>
      <c r="L31" s="3"/>
    </row>
    <row r="32" spans="1:17" x14ac:dyDescent="0.3">
      <c r="G32" s="2">
        <f>SUM(G2:G30)</f>
        <v>500</v>
      </c>
    </row>
  </sheetData>
  <mergeCells count="14">
    <mergeCell ref="B25:F25"/>
    <mergeCell ref="B30:F30"/>
    <mergeCell ref="B16:F16"/>
    <mergeCell ref="B24:F24"/>
    <mergeCell ref="A18:A23"/>
    <mergeCell ref="G18:G23"/>
    <mergeCell ref="A28:A29"/>
    <mergeCell ref="G28:G29"/>
    <mergeCell ref="A2:A4"/>
    <mergeCell ref="G2:G4"/>
    <mergeCell ref="A7:A10"/>
    <mergeCell ref="G7:G10"/>
    <mergeCell ref="A13:A14"/>
    <mergeCell ref="G13:G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PATE 2026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Fellype Rodrigues Mendonça</dc:creator>
  <cp:lastModifiedBy>Fellype Rodrigues Mendonça</cp:lastModifiedBy>
  <dcterms:created xsi:type="dcterms:W3CDTF">2026-04-06T21:29:08Z</dcterms:created>
  <dcterms:modified xsi:type="dcterms:W3CDTF">2026-08-06T15:49:39Z</dcterms:modified>
</cp:coreProperties>
</file>